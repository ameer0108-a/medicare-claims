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Inputs from data" sheetId="3" state="visible" r:id="rId5"/>
    <sheet name="Assumptions" sheetId="4" state="visible" r:id="rId6"/>
    <sheet name="Adherence outreach" sheetId="5" state="visible" r:id="rId7"/>
    <sheet name="Care managemen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<sst xmlns="http://schemas.openxmlformats.org/spreadsheetml/2006/main" count="185" uniqueCount="132">
  <si>
    <t xml:space="preserve">Outreach ROI model</t>
  </si>
  <si>
    <t xml:space="preserve">Medicare claims warehouse, project 1. Two candidate programs for an ACO, priced from the 2022 data with low / base / high assumptions.</t>
  </si>
  <si>
    <t xml:space="preserve">How to use it</t>
  </si>
  <si>
    <t xml:space="preserve">1. Blue numbers are inputs. Change them on the Assumptions tab and everything else updates.</t>
  </si>
  <si>
    <t xml:space="preserve">2. Black numbers are formulas. Green numbers pull from another tab.</t>
  </si>
  <si>
    <t xml:space="preserve">3. "Inputs from data" holds counts from the SQL build (exports/roi_inputs.csv). Re-paste them if the build changes.</t>
  </si>
  <si>
    <t xml:space="preserve">4. Summary has the six numbers that go in the memo and on the dashboard.</t>
  </si>
  <si>
    <t xml:space="preserve">Low = pessimistic, High = optimistic. Every assumption has its source or reasoning next to it.</t>
  </si>
  <si>
    <t xml:space="preserve">Big caveat</t>
  </si>
  <si>
    <t xml:space="preserve">The claims are synthetic, so the counts are realistic in shape but not real people. The point of the model is the method:</t>
  </si>
  <si>
    <t xml:space="preserve">who to target, what has to be true for it to pay off, and how sensitive the answer is to each assumption.</t>
  </si>
  <si>
    <t xml:space="preserve">Medical savings from adherence come from an observational study (Roebuck et al. 2011). That is why the base case only counts half of them.</t>
  </si>
  <si>
    <t xml:space="preserve">Summary: net savings per year</t>
  </si>
  <si>
    <t xml:space="preserve">Program</t>
  </si>
  <si>
    <t xml:space="preserve">Low</t>
  </si>
  <si>
    <t xml:space="preserve">Base</t>
  </si>
  <si>
    <t xml:space="preserve">High</t>
  </si>
  <si>
    <t xml:space="preserve">A. Adherence outreach, net savings</t>
  </si>
  <si>
    <t xml:space="preserve">A. Return per $1 spent</t>
  </si>
  <si>
    <t xml:space="preserve">A. People targeted</t>
  </si>
  <si>
    <t xml:space="preserve">B. Care management, net savings</t>
  </si>
  <si>
    <t xml:space="preserve">B. Return per $1 spent</t>
  </si>
  <si>
    <t xml:space="preserve">B. Break-even reduction in admissions</t>
  </si>
  <si>
    <t xml:space="preserve">B. People targeted</t>
  </si>
  <si>
    <t xml:space="preserve">Base case: outreach pays for itself several times over; care management loses money unless it beats the best program in the Medicare demo.</t>
  </si>
  <si>
    <t xml:space="preserve">Counts from the 2022 data (exports/roi_inputs.csv)</t>
  </si>
  <si>
    <t xml:space="preserve">Input</t>
  </si>
  <si>
    <t xml:space="preserve">Value</t>
  </si>
  <si>
    <t xml:space="preserve">Where it comes from</t>
  </si>
  <si>
    <t xml:space="preserve">Statins: 2022 denominator</t>
  </si>
  <si>
    <t xml:space="preserve">mart.pdc_result, 08_pdc_adherence.sql</t>
  </si>
  <si>
    <t xml:space="preserve">Statins: near misses (PDC 60-79%)</t>
  </si>
  <si>
    <t xml:space="preserve">mart.adherence_outreach_list, 09_outreach_targets.sql</t>
  </si>
  <si>
    <t xml:space="preserve">Statins: 2022 adherent</t>
  </si>
  <si>
    <t xml:space="preserve">mart.pdc_result</t>
  </si>
  <si>
    <t xml:space="preserve">RAS antagonists: 2022 denominator</t>
  </si>
  <si>
    <t xml:space="preserve">RAS antagonists: near misses (PDC 60-79%)</t>
  </si>
  <si>
    <t xml:space="preserve">mart.adherence_outreach_list</t>
  </si>
  <si>
    <t xml:space="preserve">RAS antagonists: 2022 adherent</t>
  </si>
  <si>
    <t xml:space="preserve">Diabetes: 2022 denominator</t>
  </si>
  <si>
    <t xml:space="preserve">Diabetes: near misses (PDC 60-79%)</t>
  </si>
  <si>
    <t xml:space="preserve">Diabetes: 2022 adherent</t>
  </si>
  <si>
    <t xml:space="preserve">Care mgmt: 2021 top 5% non-ESRD members</t>
  </si>
  <si>
    <t xml:space="preserve">mart.care_mgmt_followup</t>
  </si>
  <si>
    <t xml:space="preserve">Care mgmt: their overnight admits in 2022</t>
  </si>
  <si>
    <t xml:space="preserve">mart.care_mgmt_followup (no program, what actually happened)</t>
  </si>
  <si>
    <t xml:space="preserve">Care mgmt: their avg paid in 2021</t>
  </si>
  <si>
    <t xml:space="preserve">Care mgmt: their avg paid in 2022</t>
  </si>
  <si>
    <t xml:space="preserve">Overnight stay paid, 2022 mean</t>
  </si>
  <si>
    <t xml:space="preserve">mart.inpatient_stay</t>
  </si>
  <si>
    <t xml:space="preserve">Overnight stay paid, 2022 median</t>
  </si>
  <si>
    <t xml:space="preserve">Assumptions (blue cells are the levers)</t>
  </si>
  <si>
    <t xml:space="preserve">Assumption</t>
  </si>
  <si>
    <t xml:space="preserve">Source or reasoning</t>
  </si>
  <si>
    <t xml:space="preserve">A. Pharmacy adherence outreach</t>
  </si>
  <si>
    <t xml:space="preserve">Share of targeted near misses who end the year at PDC 80%+</t>
  </si>
  <si>
    <t xml:space="preserve">My assumption. Reality check: Prime Therapeutics reported a missed-refill call and letter program raised adherence 1.4 to 1.9 points among about 83,000 Medicare members with a refill gap (BioSpace, May 2018). Targeting only near misses should convert a higher share of the people actually contacted.</t>
  </si>
  <si>
    <t xml:space="preserve">Outreach cost per targeted member ($)</t>
  </si>
  <si>
    <t xml:space="preserve">My assumption: two or three pharmacy tech or pharmacist calls plus a refill sync. Low case assumes pharmacist time, high case assumes a tech-led script.</t>
  </si>
  <si>
    <t xml:space="preserve">Share of published medical savings that actually shows up</t>
  </si>
  <si>
    <t xml:space="preserve">Roebuck et al. is observational, so adherent people may just be healthier. Base case counts half.</t>
  </si>
  <si>
    <t xml:space="preserve">Net savings per newly adherent member, cholesterol ($/yr)</t>
  </si>
  <si>
    <t xml:space="preserve">Roebuck, Liberman, Gemmill-Toyama, Brennan. Health Affairs 2011;30(1):91-99. Net of added drug cost. Dyslipidemia.</t>
  </si>
  <si>
    <t xml:space="preserve">Net savings per newly adherent member, hypertension ($/yr)</t>
  </si>
  <si>
    <t xml:space="preserve">Same study, hypertension. Used for RAS antagonists.</t>
  </si>
  <si>
    <t xml:space="preserve">Net savings per newly adherent member, diabetes ($/yr)</t>
  </si>
  <si>
    <t xml:space="preserve">Same study, diabetes. 2005-2008 employer data, not inflated, so if anything conservative in dollar terms.</t>
  </si>
  <si>
    <t xml:space="preserve">B. Care management for high-cost members (non-ESRD)</t>
  </si>
  <si>
    <t xml:space="preserve">Care management fee per member per month ($)</t>
  </si>
  <si>
    <t xml:space="preserve">Peikes et al. JAMA 2009;301(6):603-618, Medicare Coordinated Care Demonstration. Paid fees ranged $60 to $270 PMPM, average $164.</t>
  </si>
  <si>
    <t xml:space="preserve">Months in program</t>
  </si>
  <si>
    <t xml:space="preserve">One year.</t>
  </si>
  <si>
    <t xml:space="preserve">Reduction in overnight admissions</t>
  </si>
  <si>
    <t xml:space="preserve">Peikes 2009: 13 of 15 programs had no significant effect on admissions; the best (Mercy) cut them 17%. Base is a middle guess, not a finding.</t>
  </si>
  <si>
    <t xml:space="preserve">Medicare paid per avoided admission ($)</t>
  </si>
  <si>
    <t xml:space="preserve">Low and high are the 2022 median and mean overnight stay in this data (very skewed). Base is MedPAC July 2026 Data Book: IPPS payment per stay $16,000 in FY2024.</t>
  </si>
  <si>
    <t xml:space="preserve">Program A: pharmacy outreach to adherence near misses (PDC 60-79% in 2022)</t>
  </si>
  <si>
    <t xml:space="preserve">One block per scenario. Rows are the three Part D adherence measures.</t>
  </si>
  <si>
    <t xml:space="preserve">Low case</t>
  </si>
  <si>
    <t xml:space="preserve">Measure</t>
  </si>
  <si>
    <t xml:space="preserve">Denominator</t>
  </si>
  <si>
    <t xml:space="preserve">Adherent now</t>
  </si>
  <si>
    <t xml:space="preserve">Rate now</t>
  </si>
  <si>
    <t xml:space="preserve">Near misses targeted</t>
  </si>
  <si>
    <t xml:space="preserve">Newly adherent</t>
  </si>
  <si>
    <t xml:space="preserve">Rate after</t>
  </si>
  <si>
    <t xml:space="preserve">Change (pts)</t>
  </si>
  <si>
    <t xml:space="preserve">Savings per newly adherent</t>
  </si>
  <si>
    <t xml:space="preserve">Gross savings</t>
  </si>
  <si>
    <t xml:space="preserve">Outreach cost</t>
  </si>
  <si>
    <t xml:space="preserve">Net savings</t>
  </si>
  <si>
    <t xml:space="preserve">Return per $1</t>
  </si>
  <si>
    <t xml:space="preserve">Statins</t>
  </si>
  <si>
    <t xml:space="preserve">RAS antagonists</t>
  </si>
  <si>
    <t xml:space="preserve">Diabetes</t>
  </si>
  <si>
    <t xml:space="preserve">Total</t>
  </si>
  <si>
    <t xml:space="preserve">Base case</t>
  </si>
  <si>
    <t xml:space="preserve">High case</t>
  </si>
  <si>
    <t xml:space="preserve">Sensitivity: total net savings at the base outreach cost</t>
  </si>
  <si>
    <t xml:space="preserve">Rows = share of near misses converted. Columns = share of published savings that shows up.</t>
  </si>
  <si>
    <t xml:space="preserve">Converted \ Realized</t>
  </si>
  <si>
    <t xml:space="preserve">Program B: care management for last year's high-cost members (non-ESRD)</t>
  </si>
  <si>
    <t xml:space="preserve">Target = the 2021 top 5% by medical spend, minus ESRD. Their 2022 admissions are what happened with no program.</t>
  </si>
  <si>
    <t xml:space="preserve">Line</t>
  </si>
  <si>
    <t xml:space="preserve">How it is calculated</t>
  </si>
  <si>
    <t xml:space="preserve">Members enrolled</t>
  </si>
  <si>
    <t xml:space="preserve">From data</t>
  </si>
  <si>
    <t xml:space="preserve">Overnight admissions next year with no program</t>
  </si>
  <si>
    <t xml:space="preserve">From data (2022)</t>
  </si>
  <si>
    <t xml:space="preserve">Fee per member per month</t>
  </si>
  <si>
    <t xml:space="preserve">Assumptions</t>
  </si>
  <si>
    <t xml:space="preserve">Months</t>
  </si>
  <si>
    <t xml:space="preserve">Program cost</t>
  </si>
  <si>
    <t xml:space="preserve">members x fee x months</t>
  </si>
  <si>
    <t xml:space="preserve">Reduction in admissions</t>
  </si>
  <si>
    <t xml:space="preserve">Admissions avoided</t>
  </si>
  <si>
    <t xml:space="preserve">admissions x reduction</t>
  </si>
  <si>
    <t xml:space="preserve">Paid per avoided admission</t>
  </si>
  <si>
    <t xml:space="preserve">Savings from avoided admissions</t>
  </si>
  <si>
    <t xml:space="preserve">avoided x paid per admission</t>
  </si>
  <si>
    <t xml:space="preserve">savings - program cost</t>
  </si>
  <si>
    <t xml:space="preserve">savings / cost</t>
  </si>
  <si>
    <t xml:space="preserve">Break-even reduction in admissions</t>
  </si>
  <si>
    <t xml:space="preserve">cost / (admissions x paid per admission)</t>
  </si>
  <si>
    <t xml:space="preserve">Spend for this group fell on its own between 2021 and 2022 (regression to the mean):</t>
  </si>
  <si>
    <t xml:space="preserve">Average paid, 2021</t>
  </si>
  <si>
    <t xml:space="preserve">Average paid, 2022</t>
  </si>
  <si>
    <t xml:space="preserve">Change with no program</t>
  </si>
  <si>
    <t xml:space="preserve">A before/after comparison would credit this drop to the program. Use a comparison group.</t>
  </si>
  <si>
    <t xml:space="preserve">Sensitivity: net savings at base paid per admission ($16,000)</t>
  </si>
  <si>
    <t xml:space="preserve">Rows = reduction in admissions. Columns = fee per member per month.</t>
  </si>
  <si>
    <t xml:space="preserve">Reduction \ Fee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</si>
</sst>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\x;\(0.0&quot;x)&quot;;\-"/>
    <numFmt numFmtId="167" formatCode="#,##0;\(#,##0\);\-"/>
    <numFmt numFmtId="168" formatCode="0.0%;\(0.0%\);\-"/>
    <numFmt numFmtId="169" formatCode="#,##0.0;\(#,##0.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16.15" hidden="false" customHeight="false" outlineLevel="0" collapsed="false">
      <c r="A1" s="1" t="s">
        <v>12</v>
      </c>
    </row>
    <row r="3" customFormat="false" ht="15" hidden="false" customHeight="false" outlineLevel="0" collapsed="false">
      <c r="A3" s="4" t="s">
        <v>13</v>
      </c>
      <c r="B3" s="4" t="s">
        <v>14</v>
      </c>
      <c r="C3" s="4" t="s">
        <v>15</v>
      </c>
      <c r="D3" s="4" t="s">
        <v>16</v>
      </c>
    </row>
    <row r="4" customFormat="false" ht="15" hidden="false" customHeight="false" outlineLevel="0" collapsed="false">
      <c r="A4" s="2" t="s">
        <v>17</v>
      </c>
      <c r="B4" s="5" t="n">
        <f aca="false">'Adherence outreach'!L9</f>
        <v>-15841.7</v>
      </c>
      <c r="C4" s="6" t="n">
        <f aca="false">'Adherence outreach'!L17</f>
        <v>53449.8</v>
      </c>
      <c r="D4" s="5" t="n">
        <f aca="false">'Adherence outreach'!L25</f>
        <v>261049.2</v>
      </c>
    </row>
    <row r="5" customFormat="false" ht="15" hidden="false" customHeight="false" outlineLevel="0" collapsed="false">
      <c r="A5" s="2" t="s">
        <v>18</v>
      </c>
      <c r="B5" s="7" t="n">
        <f aca="false">'Adherence outreach'!M9</f>
        <v>0.41327037037037</v>
      </c>
      <c r="C5" s="7" t="n">
        <f aca="false">'Adherence outreach'!M17</f>
        <v>4.95924444444445</v>
      </c>
      <c r="D5" s="7" t="n">
        <f aca="false">'Adherence outreach'!M25</f>
        <v>39.6739555555556</v>
      </c>
    </row>
    <row r="6" customFormat="false" ht="15" hidden="false" customHeight="false" outlineLevel="0" collapsed="false">
      <c r="A6" s="2" t="s">
        <v>19</v>
      </c>
      <c r="B6" s="8" t="n">
        <f aca="false">'Adherence outreach'!E9</f>
        <v>270</v>
      </c>
      <c r="C6" s="8" t="n">
        <f aca="false">'Adherence outreach'!E17</f>
        <v>270</v>
      </c>
      <c r="D6" s="8" t="n">
        <f aca="false">'Adherence outreach'!E25</f>
        <v>270</v>
      </c>
    </row>
    <row r="7" customFormat="false" ht="15" hidden="false" customHeight="false" outlineLevel="0" collapsed="false">
      <c r="A7" s="2" t="s">
        <v>20</v>
      </c>
      <c r="B7" s="5" t="n">
        <f aca="false">'Care management'!B14</f>
        <v>-541080</v>
      </c>
      <c r="C7" s="6" t="n">
        <f aca="false">'Care management'!C14</f>
        <v>-223696</v>
      </c>
      <c r="D7" s="5" t="n">
        <f aca="false">'Care management'!D14</f>
        <v>314576.48</v>
      </c>
    </row>
    <row r="8" customFormat="false" ht="15" hidden="false" customHeight="false" outlineLevel="0" collapsed="false">
      <c r="A8" s="2" t="s">
        <v>21</v>
      </c>
      <c r="B8" s="7" t="n">
        <f aca="false">'Care management'!B15</f>
        <v>0</v>
      </c>
      <c r="C8" s="7" t="n">
        <f aca="false">'Care management'!C15</f>
        <v>0.31936127744511</v>
      </c>
      <c r="D8" s="7" t="n">
        <f aca="false">'Care management'!D15</f>
        <v>3.6162381902861</v>
      </c>
    </row>
    <row r="9" customFormat="false" ht="15" hidden="false" customHeight="false" outlineLevel="0" collapsed="false">
      <c r="A9" s="2" t="s">
        <v>22</v>
      </c>
      <c r="B9" s="9" t="n">
        <f aca="false">'Care management'!B16</f>
        <v>1.5628935540895</v>
      </c>
      <c r="C9" s="9" t="n">
        <f aca="false">'Care management'!C16</f>
        <v>0.2505</v>
      </c>
      <c r="D9" s="9" t="n">
        <f aca="false">'Care management'!D16</f>
        <v>0.047010177719115</v>
      </c>
    </row>
    <row r="10" customFormat="false" ht="15" hidden="false" customHeight="false" outlineLevel="0" collapsed="false">
      <c r="A10" s="2" t="s">
        <v>23</v>
      </c>
      <c r="B10" s="8" t="n">
        <f aca="false">'Care management'!B5</f>
        <v>167</v>
      </c>
      <c r="C10" s="8" t="n">
        <f aca="false">'Care management'!C5</f>
        <v>167</v>
      </c>
      <c r="D10" s="8" t="n">
        <f aca="false">'Care management'!D5</f>
        <v>167</v>
      </c>
    </row>
    <row r="12" customFormat="false" ht="15" hidden="false" customHeight="false" outlineLevel="0" collapsed="false">
      <c r="A12" s="1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25</v>
      </c>
    </row>
    <row r="3" customFormat="false" ht="15" hidden="false" customHeight="false" outlineLevel="0" collapsed="false">
      <c r="A3" s="4" t="s">
        <v>26</v>
      </c>
      <c r="B3" s="4" t="s">
        <v>27</v>
      </c>
      <c r="C3" s="4" t="s">
        <v>28</v>
      </c>
    </row>
    <row r="4" customFormat="false" ht="15" hidden="false" customHeight="false" outlineLevel="0" collapsed="false">
      <c r="A4" s="2" t="s">
        <v>29</v>
      </c>
      <c r="B4" s="11" t="n">
        <v>892</v>
      </c>
      <c r="C4" s="10" t="s">
        <v>30</v>
      </c>
    </row>
    <row r="5" customFormat="false" ht="15" hidden="false" customHeight="false" outlineLevel="0" collapsed="false">
      <c r="A5" s="2" t="s">
        <v>31</v>
      </c>
      <c r="B5" s="11" t="n">
        <v>60</v>
      </c>
      <c r="C5" s="10" t="s">
        <v>32</v>
      </c>
    </row>
    <row r="6" customFormat="false" ht="15" hidden="false" customHeight="false" outlineLevel="0" collapsed="false">
      <c r="A6" s="2" t="s">
        <v>33</v>
      </c>
      <c r="B6" s="11" t="n">
        <v>728</v>
      </c>
      <c r="C6" s="10" t="s">
        <v>34</v>
      </c>
    </row>
    <row r="7" customFormat="false" ht="15" hidden="false" customHeight="false" outlineLevel="0" collapsed="false">
      <c r="A7" s="2" t="s">
        <v>35</v>
      </c>
      <c r="B7" s="11" t="n">
        <v>516</v>
      </c>
      <c r="C7" s="10" t="s">
        <v>34</v>
      </c>
    </row>
    <row r="8" customFormat="false" ht="15" hidden="false" customHeight="false" outlineLevel="0" collapsed="false">
      <c r="A8" s="2" t="s">
        <v>36</v>
      </c>
      <c r="B8" s="11" t="n">
        <v>187</v>
      </c>
      <c r="C8" s="10" t="s">
        <v>37</v>
      </c>
    </row>
    <row r="9" customFormat="false" ht="15" hidden="false" customHeight="false" outlineLevel="0" collapsed="false">
      <c r="A9" s="2" t="s">
        <v>38</v>
      </c>
      <c r="B9" s="11" t="n">
        <v>106</v>
      </c>
      <c r="C9" s="10" t="s">
        <v>34</v>
      </c>
    </row>
    <row r="10" customFormat="false" ht="15" hidden="false" customHeight="false" outlineLevel="0" collapsed="false">
      <c r="A10" s="2" t="s">
        <v>39</v>
      </c>
      <c r="B10" s="11" t="n">
        <v>56</v>
      </c>
      <c r="C10" s="10" t="s">
        <v>34</v>
      </c>
    </row>
    <row r="11" customFormat="false" ht="15" hidden="false" customHeight="false" outlineLevel="0" collapsed="false">
      <c r="A11" s="2" t="s">
        <v>40</v>
      </c>
      <c r="B11" s="11" t="n">
        <v>23</v>
      </c>
      <c r="C11" s="10" t="s">
        <v>37</v>
      </c>
    </row>
    <row r="12" customFormat="false" ht="15" hidden="false" customHeight="false" outlineLevel="0" collapsed="false">
      <c r="A12" s="2" t="s">
        <v>41</v>
      </c>
      <c r="B12" s="11" t="n">
        <v>8</v>
      </c>
      <c r="C12" s="10" t="s">
        <v>34</v>
      </c>
    </row>
    <row r="13" customFormat="false" ht="15" hidden="false" customHeight="false" outlineLevel="0" collapsed="false">
      <c r="A13" s="2" t="s">
        <v>42</v>
      </c>
      <c r="B13" s="11" t="n">
        <v>167</v>
      </c>
      <c r="C13" s="10" t="s">
        <v>43</v>
      </c>
    </row>
    <row r="14" customFormat="false" ht="15" hidden="false" customHeight="false" outlineLevel="0" collapsed="false">
      <c r="A14" s="2" t="s">
        <v>44</v>
      </c>
      <c r="B14" s="11" t="n">
        <v>82</v>
      </c>
      <c r="C14" s="10" t="s">
        <v>45</v>
      </c>
    </row>
    <row r="15" customFormat="false" ht="15" hidden="false" customHeight="false" outlineLevel="0" collapsed="false">
      <c r="A15" s="2" t="s">
        <v>46</v>
      </c>
      <c r="B15" s="12" t="n">
        <v>191249</v>
      </c>
      <c r="C15" s="10" t="s">
        <v>43</v>
      </c>
    </row>
    <row r="16" customFormat="false" ht="15" hidden="false" customHeight="false" outlineLevel="0" collapsed="false">
      <c r="A16" s="2" t="s">
        <v>47</v>
      </c>
      <c r="B16" s="12" t="n">
        <v>116535</v>
      </c>
      <c r="C16" s="10" t="s">
        <v>43</v>
      </c>
    </row>
    <row r="17" customFormat="false" ht="15" hidden="false" customHeight="false" outlineLevel="0" collapsed="false">
      <c r="A17" s="2" t="s">
        <v>48</v>
      </c>
      <c r="B17" s="12" t="n">
        <v>31192</v>
      </c>
      <c r="C17" s="10" t="s">
        <v>49</v>
      </c>
    </row>
    <row r="18" customFormat="false" ht="15" hidden="false" customHeight="false" outlineLevel="0" collapsed="false">
      <c r="A18" s="2" t="s">
        <v>50</v>
      </c>
      <c r="B18" s="12" t="n">
        <v>4222</v>
      </c>
      <c r="C18" s="10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4" min="2" style="0" width="11"/>
    <col collapsed="false" customWidth="true" hidden="false" outlineLevel="0" max="5" min="5" style="0" width="90"/>
  </cols>
  <sheetData>
    <row r="1" customFormat="false" ht="16.15" hidden="false" customHeight="false" outlineLevel="0" collapsed="false">
      <c r="A1" s="1" t="s">
        <v>51</v>
      </c>
    </row>
    <row r="3" customFormat="false" ht="15" hidden="false" customHeight="false" outlineLevel="0" collapsed="false">
      <c r="A3" s="4" t="s">
        <v>52</v>
      </c>
      <c r="B3" s="4" t="s">
        <v>14</v>
      </c>
      <c r="C3" s="4" t="s">
        <v>15</v>
      </c>
      <c r="D3" s="4" t="s">
        <v>16</v>
      </c>
      <c r="E3" s="4" t="s">
        <v>53</v>
      </c>
    </row>
    <row r="4" customFormat="false" ht="15" hidden="false" customHeight="false" outlineLevel="0" collapsed="false">
      <c r="A4" s="3" t="s">
        <v>54</v>
      </c>
    </row>
    <row r="5" customFormat="false" ht="32.8" hidden="false" customHeight="false" outlineLevel="0" collapsed="false">
      <c r="A5" s="2" t="s">
        <v>55</v>
      </c>
      <c r="B5" s="13" t="n">
        <v>0.05</v>
      </c>
      <c r="C5" s="13" t="n">
        <v>0.15</v>
      </c>
      <c r="D5" s="13" t="n">
        <v>0.3</v>
      </c>
      <c r="E5" s="14" t="s">
        <v>56</v>
      </c>
    </row>
    <row r="6" customFormat="false" ht="22.35" hidden="false" customHeight="false" outlineLevel="0" collapsed="false">
      <c r="A6" s="2" t="s">
        <v>57</v>
      </c>
      <c r="B6" s="15" t="n">
        <v>100</v>
      </c>
      <c r="C6" s="15" t="n">
        <v>50</v>
      </c>
      <c r="D6" s="15" t="n">
        <v>25</v>
      </c>
      <c r="E6" s="14" t="s">
        <v>58</v>
      </c>
    </row>
    <row r="7" customFormat="false" ht="15" hidden="false" customHeight="false" outlineLevel="0" collapsed="false">
      <c r="A7" s="2" t="s">
        <v>59</v>
      </c>
      <c r="B7" s="13" t="n">
        <v>0.25</v>
      </c>
      <c r="C7" s="13" t="n">
        <v>0.5</v>
      </c>
      <c r="D7" s="13" t="n">
        <v>1</v>
      </c>
      <c r="E7" s="14" t="s">
        <v>60</v>
      </c>
    </row>
    <row r="8" customFormat="false" ht="15" hidden="false" customHeight="false" outlineLevel="0" collapsed="false">
      <c r="A8" s="2" t="s">
        <v>61</v>
      </c>
      <c r="B8" s="15" t="n">
        <v>1258</v>
      </c>
      <c r="C8" s="15" t="n">
        <v>1258</v>
      </c>
      <c r="D8" s="15" t="n">
        <v>1258</v>
      </c>
      <c r="E8" s="14" t="s">
        <v>62</v>
      </c>
    </row>
    <row r="9" customFormat="false" ht="15" hidden="false" customHeight="false" outlineLevel="0" collapsed="false">
      <c r="A9" s="2" t="s">
        <v>63</v>
      </c>
      <c r="B9" s="15" t="n">
        <v>3908</v>
      </c>
      <c r="C9" s="15" t="n">
        <v>3908</v>
      </c>
      <c r="D9" s="15" t="n">
        <v>3908</v>
      </c>
      <c r="E9" s="14" t="s">
        <v>64</v>
      </c>
    </row>
    <row r="10" customFormat="false" ht="15" hidden="false" customHeight="false" outlineLevel="0" collapsed="false">
      <c r="A10" s="2" t="s">
        <v>65</v>
      </c>
      <c r="B10" s="15" t="n">
        <v>3756</v>
      </c>
      <c r="C10" s="15" t="n">
        <v>3756</v>
      </c>
      <c r="D10" s="15" t="n">
        <v>3756</v>
      </c>
      <c r="E10" s="14" t="s">
        <v>66</v>
      </c>
    </row>
    <row r="11" customFormat="false" ht="15" hidden="false" customHeight="false" outlineLevel="0" collapsed="false">
      <c r="A11" s="3" t="s">
        <v>67</v>
      </c>
    </row>
    <row r="12" customFormat="false" ht="22.35" hidden="false" customHeight="false" outlineLevel="0" collapsed="false">
      <c r="A12" s="2" t="s">
        <v>68</v>
      </c>
      <c r="B12" s="15" t="n">
        <v>270</v>
      </c>
      <c r="C12" s="15" t="n">
        <v>164</v>
      </c>
      <c r="D12" s="15" t="n">
        <v>60</v>
      </c>
      <c r="E12" s="14" t="s">
        <v>69</v>
      </c>
    </row>
    <row r="13" customFormat="false" ht="15" hidden="false" customHeight="false" outlineLevel="0" collapsed="false">
      <c r="A13" s="2" t="s">
        <v>70</v>
      </c>
      <c r="B13" s="16" t="n">
        <v>12</v>
      </c>
      <c r="C13" s="16" t="n">
        <v>12</v>
      </c>
      <c r="D13" s="16" t="n">
        <v>12</v>
      </c>
      <c r="E13" s="14" t="s">
        <v>71</v>
      </c>
    </row>
    <row r="14" customFormat="false" ht="22.35" hidden="false" customHeight="false" outlineLevel="0" collapsed="false">
      <c r="A14" s="2" t="s">
        <v>72</v>
      </c>
      <c r="B14" s="13" t="n">
        <v>0</v>
      </c>
      <c r="C14" s="13" t="n">
        <v>0.08</v>
      </c>
      <c r="D14" s="13" t="n">
        <v>0.17</v>
      </c>
      <c r="E14" s="14" t="s">
        <v>73</v>
      </c>
    </row>
    <row r="15" customFormat="false" ht="22.35" hidden="false" customHeight="false" outlineLevel="0" collapsed="false">
      <c r="A15" s="2" t="s">
        <v>74</v>
      </c>
      <c r="B15" s="15" t="n">
        <v>4222</v>
      </c>
      <c r="C15" s="15" t="n">
        <v>16000</v>
      </c>
      <c r="D15" s="15" t="n">
        <v>31192</v>
      </c>
      <c r="E15" s="14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2" min="10" style="0" width="13"/>
    <col collapsed="false" customWidth="true" hidden="false" outlineLevel="0" max="13" min="13" style="0" width="11"/>
  </cols>
  <sheetData>
    <row r="1" customFormat="false" ht="16.15" hidden="false" customHeight="false" outlineLevel="0" collapsed="false">
      <c r="A1" s="1" t="s">
        <v>76</v>
      </c>
    </row>
    <row r="2" customFormat="false" ht="15" hidden="false" customHeight="false" outlineLevel="0" collapsed="false">
      <c r="A2" s="10" t="s">
        <v>77</v>
      </c>
    </row>
    <row r="4" customFormat="false" ht="15" hidden="false" customHeight="false" outlineLevel="0" collapsed="false">
      <c r="A4" s="3" t="s">
        <v>78</v>
      </c>
    </row>
    <row r="5" customFormat="false" ht="23.85" hidden="false" customHeight="false" outlineLevel="0" collapsed="false">
      <c r="A5" s="4" t="s">
        <v>79</v>
      </c>
      <c r="B5" s="4" t="s">
        <v>80</v>
      </c>
      <c r="C5" s="4" t="s">
        <v>81</v>
      </c>
      <c r="D5" s="4" t="s">
        <v>82</v>
      </c>
      <c r="E5" s="4" t="s">
        <v>83</v>
      </c>
      <c r="F5" s="4" t="s">
        <v>84</v>
      </c>
      <c r="G5" s="4" t="s">
        <v>85</v>
      </c>
      <c r="H5" s="4" t="s">
        <v>86</v>
      </c>
      <c r="I5" s="4" t="s">
        <v>87</v>
      </c>
      <c r="J5" s="4" t="s">
        <v>88</v>
      </c>
      <c r="K5" s="4" t="s">
        <v>89</v>
      </c>
      <c r="L5" s="4" t="s">
        <v>90</v>
      </c>
      <c r="M5" s="4" t="s">
        <v>91</v>
      </c>
    </row>
    <row r="6" customFormat="false" ht="15" hidden="false" customHeight="false" outlineLevel="0" collapsed="false">
      <c r="A6" s="2" t="s">
        <v>92</v>
      </c>
      <c r="B6" s="8" t="n">
        <f aca="false">'Inputs from data'!$B$4</f>
        <v>892</v>
      </c>
      <c r="C6" s="8" t="n">
        <f aca="false">'Inputs from data'!$B$6</f>
        <v>728</v>
      </c>
      <c r="D6" s="17" t="n">
        <f aca="false">IFERROR(C6/B6,0)</f>
        <v>0.816143497757848</v>
      </c>
      <c r="E6" s="8" t="n">
        <f aca="false">'Inputs from data'!$B$5</f>
        <v>60</v>
      </c>
      <c r="F6" s="18" t="n">
        <f aca="false">E6*Assumptions!$B$5</f>
        <v>3</v>
      </c>
      <c r="G6" s="17" t="n">
        <f aca="false">IFERROR((C6+F6)/B6,0)</f>
        <v>0.819506726457399</v>
      </c>
      <c r="H6" s="18" t="n">
        <f aca="false">(G6-D6)*100</f>
        <v>0.336322869955152</v>
      </c>
      <c r="I6" s="19" t="n">
        <f aca="false">Assumptions!$B$8*Assumptions!$B$7</f>
        <v>314.5</v>
      </c>
      <c r="J6" s="19" t="n">
        <f aca="false">F6*I6</f>
        <v>943.5</v>
      </c>
      <c r="K6" s="19" t="n">
        <f aca="false">E6*Assumptions!$B$6</f>
        <v>6000</v>
      </c>
      <c r="L6" s="19" t="n">
        <f aca="false">J6-K6</f>
        <v>-5056.5</v>
      </c>
      <c r="M6" s="20" t="n">
        <f aca="false">IFERROR(J6/K6,0)</f>
        <v>0.15725</v>
      </c>
    </row>
    <row r="7" customFormat="false" ht="15" hidden="false" customHeight="false" outlineLevel="0" collapsed="false">
      <c r="A7" s="2" t="s">
        <v>93</v>
      </c>
      <c r="B7" s="8" t="n">
        <f aca="false">'Inputs from data'!$B$7</f>
        <v>516</v>
      </c>
      <c r="C7" s="8" t="n">
        <f aca="false">'Inputs from data'!$B$9</f>
        <v>106</v>
      </c>
      <c r="D7" s="17" t="n">
        <f aca="false">IFERROR(C7/B7,0)</f>
        <v>0.205426356589147</v>
      </c>
      <c r="E7" s="8" t="n">
        <f aca="false">'Inputs from data'!$B$8</f>
        <v>187</v>
      </c>
      <c r="F7" s="18" t="n">
        <f aca="false">E7*Assumptions!$B$5</f>
        <v>9.35</v>
      </c>
      <c r="G7" s="17" t="n">
        <f aca="false">IFERROR((C7+F7)/B7,0)</f>
        <v>0.223546511627907</v>
      </c>
      <c r="H7" s="18" t="n">
        <f aca="false">(G7-D7)*100</f>
        <v>1.81201550387597</v>
      </c>
      <c r="I7" s="19" t="n">
        <f aca="false">Assumptions!$B$9*Assumptions!$B$7</f>
        <v>977</v>
      </c>
      <c r="J7" s="19" t="n">
        <f aca="false">F7*I7</f>
        <v>9134.95</v>
      </c>
      <c r="K7" s="19" t="n">
        <f aca="false">E7*Assumptions!$B$6</f>
        <v>18700</v>
      </c>
      <c r="L7" s="19" t="n">
        <f aca="false">J7-K7</f>
        <v>-9565.05</v>
      </c>
      <c r="M7" s="20" t="n">
        <f aca="false">IFERROR(J7/K7,0)</f>
        <v>0.4885</v>
      </c>
    </row>
    <row r="8" customFormat="false" ht="15" hidden="false" customHeight="false" outlineLevel="0" collapsed="false">
      <c r="A8" s="2" t="s">
        <v>94</v>
      </c>
      <c r="B8" s="8" t="n">
        <f aca="false">'Inputs from data'!$B$10</f>
        <v>56</v>
      </c>
      <c r="C8" s="8" t="n">
        <f aca="false">'Inputs from data'!$B$12</f>
        <v>8</v>
      </c>
      <c r="D8" s="17" t="n">
        <f aca="false">IFERROR(C8/B8,0)</f>
        <v>0.142857142857143</v>
      </c>
      <c r="E8" s="8" t="n">
        <f aca="false">'Inputs from data'!$B$11</f>
        <v>23</v>
      </c>
      <c r="F8" s="18" t="n">
        <f aca="false">E8*Assumptions!$B$5</f>
        <v>1.15</v>
      </c>
      <c r="G8" s="17" t="n">
        <f aca="false">IFERROR((C8+F8)/B8,0)</f>
        <v>0.163392857142857</v>
      </c>
      <c r="H8" s="18" t="n">
        <f aca="false">(G8-D8)*100</f>
        <v>2.05357142857143</v>
      </c>
      <c r="I8" s="19" t="n">
        <f aca="false">Assumptions!$B$10*Assumptions!$B$7</f>
        <v>939</v>
      </c>
      <c r="J8" s="19" t="n">
        <f aca="false">F8*I8</f>
        <v>1079.85</v>
      </c>
      <c r="K8" s="19" t="n">
        <f aca="false">E8*Assumptions!$B$6</f>
        <v>2300</v>
      </c>
      <c r="L8" s="19" t="n">
        <f aca="false">J8-K8</f>
        <v>-1220.15</v>
      </c>
      <c r="M8" s="20" t="n">
        <f aca="false">IFERROR(J8/K8,0)</f>
        <v>0.4695</v>
      </c>
    </row>
    <row r="9" customFormat="false" ht="15" hidden="false" customHeight="false" outlineLevel="0" collapsed="false">
      <c r="A9" s="3" t="s">
        <v>95</v>
      </c>
      <c r="E9" s="21" t="n">
        <f aca="false">SUM(E6:E8)</f>
        <v>270</v>
      </c>
      <c r="F9" s="22" t="n">
        <f aca="false">SUM(F6:F8)</f>
        <v>13.5</v>
      </c>
      <c r="J9" s="23" t="n">
        <f aca="false">SUM(J6:J8)</f>
        <v>11158.3</v>
      </c>
      <c r="K9" s="23" t="n">
        <f aca="false">SUM(K6:K8)</f>
        <v>27000</v>
      </c>
      <c r="L9" s="23" t="n">
        <f aca="false">SUM(L6:L8)</f>
        <v>-15841.7</v>
      </c>
      <c r="M9" s="24" t="n">
        <f aca="false">IFERROR(J9/K9,0)</f>
        <v>0.41327037037037</v>
      </c>
    </row>
    <row r="12" customFormat="false" ht="15" hidden="false" customHeight="false" outlineLevel="0" collapsed="false">
      <c r="A12" s="3" t="s">
        <v>96</v>
      </c>
    </row>
    <row r="13" customFormat="false" ht="23.85" hidden="false" customHeight="false" outlineLevel="0" collapsed="false">
      <c r="A13" s="4" t="s">
        <v>79</v>
      </c>
      <c r="B13" s="4" t="s">
        <v>80</v>
      </c>
      <c r="C13" s="4" t="s">
        <v>81</v>
      </c>
      <c r="D13" s="4" t="s">
        <v>82</v>
      </c>
      <c r="E13" s="4" t="s">
        <v>83</v>
      </c>
      <c r="F13" s="4" t="s">
        <v>84</v>
      </c>
      <c r="G13" s="4" t="s">
        <v>85</v>
      </c>
      <c r="H13" s="4" t="s">
        <v>86</v>
      </c>
      <c r="I13" s="4" t="s">
        <v>87</v>
      </c>
      <c r="J13" s="4" t="s">
        <v>88</v>
      </c>
      <c r="K13" s="4" t="s">
        <v>89</v>
      </c>
      <c r="L13" s="4" t="s">
        <v>90</v>
      </c>
      <c r="M13" s="4" t="s">
        <v>91</v>
      </c>
    </row>
    <row r="14" customFormat="false" ht="15" hidden="false" customHeight="false" outlineLevel="0" collapsed="false">
      <c r="A14" s="2" t="s">
        <v>92</v>
      </c>
      <c r="B14" s="8" t="n">
        <f aca="false">'Inputs from data'!$B$4</f>
        <v>892</v>
      </c>
      <c r="C14" s="8" t="n">
        <f aca="false">'Inputs from data'!$B$6</f>
        <v>728</v>
      </c>
      <c r="D14" s="17" t="n">
        <f aca="false">IFERROR(C14/B14,0)</f>
        <v>0.816143497757848</v>
      </c>
      <c r="E14" s="8" t="n">
        <f aca="false">'Inputs from data'!$B$5</f>
        <v>60</v>
      </c>
      <c r="F14" s="18" t="n">
        <f aca="false">E14*Assumptions!$C$5</f>
        <v>9</v>
      </c>
      <c r="G14" s="17" t="n">
        <f aca="false">IFERROR((C14+F14)/B14,0)</f>
        <v>0.826233183856502</v>
      </c>
      <c r="H14" s="18" t="n">
        <f aca="false">(G14-D14)*100</f>
        <v>1.00896860986547</v>
      </c>
      <c r="I14" s="19" t="n">
        <f aca="false">Assumptions!$C$8*Assumptions!$C$7</f>
        <v>629</v>
      </c>
      <c r="J14" s="19" t="n">
        <f aca="false">F14*I14</f>
        <v>5661</v>
      </c>
      <c r="K14" s="19" t="n">
        <f aca="false">E14*Assumptions!$C$6</f>
        <v>3000</v>
      </c>
      <c r="L14" s="19" t="n">
        <f aca="false">J14-K14</f>
        <v>2661</v>
      </c>
      <c r="M14" s="20" t="n">
        <f aca="false">IFERROR(J14/K14,0)</f>
        <v>1.887</v>
      </c>
    </row>
    <row r="15" customFormat="false" ht="15" hidden="false" customHeight="false" outlineLevel="0" collapsed="false">
      <c r="A15" s="2" t="s">
        <v>93</v>
      </c>
      <c r="B15" s="8" t="n">
        <f aca="false">'Inputs from data'!$B$7</f>
        <v>516</v>
      </c>
      <c r="C15" s="8" t="n">
        <f aca="false">'Inputs from data'!$B$9</f>
        <v>106</v>
      </c>
      <c r="D15" s="17" t="n">
        <f aca="false">IFERROR(C15/B15,0)</f>
        <v>0.205426356589147</v>
      </c>
      <c r="E15" s="8" t="n">
        <f aca="false">'Inputs from data'!$B$8</f>
        <v>187</v>
      </c>
      <c r="F15" s="18" t="n">
        <f aca="false">E15*Assumptions!$C$5</f>
        <v>28.05</v>
      </c>
      <c r="G15" s="17" t="n">
        <f aca="false">IFERROR((C15+F15)/B15,0)</f>
        <v>0.259786821705426</v>
      </c>
      <c r="H15" s="18" t="n">
        <f aca="false">(G15-D15)*100</f>
        <v>5.43604651162791</v>
      </c>
      <c r="I15" s="19" t="n">
        <f aca="false">Assumptions!$C$9*Assumptions!$C$7</f>
        <v>1954</v>
      </c>
      <c r="J15" s="19" t="n">
        <f aca="false">F15*I15</f>
        <v>54809.7</v>
      </c>
      <c r="K15" s="19" t="n">
        <f aca="false">E15*Assumptions!$C$6</f>
        <v>9350</v>
      </c>
      <c r="L15" s="19" t="n">
        <f aca="false">J15-K15</f>
        <v>45459.7</v>
      </c>
      <c r="M15" s="20" t="n">
        <f aca="false">IFERROR(J15/K15,0)</f>
        <v>5.862</v>
      </c>
    </row>
    <row r="16" customFormat="false" ht="15" hidden="false" customHeight="false" outlineLevel="0" collapsed="false">
      <c r="A16" s="2" t="s">
        <v>94</v>
      </c>
      <c r="B16" s="8" t="n">
        <f aca="false">'Inputs from data'!$B$10</f>
        <v>56</v>
      </c>
      <c r="C16" s="8" t="n">
        <f aca="false">'Inputs from data'!$B$12</f>
        <v>8</v>
      </c>
      <c r="D16" s="17" t="n">
        <f aca="false">IFERROR(C16/B16,0)</f>
        <v>0.142857142857143</v>
      </c>
      <c r="E16" s="8" t="n">
        <f aca="false">'Inputs from data'!$B$11</f>
        <v>23</v>
      </c>
      <c r="F16" s="18" t="n">
        <f aca="false">E16*Assumptions!$C$5</f>
        <v>3.45</v>
      </c>
      <c r="G16" s="17" t="n">
        <f aca="false">IFERROR((C16+F16)/B16,0)</f>
        <v>0.204464285714286</v>
      </c>
      <c r="H16" s="18" t="n">
        <f aca="false">(G16-D16)*100</f>
        <v>6.16071428571429</v>
      </c>
      <c r="I16" s="19" t="n">
        <f aca="false">Assumptions!$C$10*Assumptions!$C$7</f>
        <v>1878</v>
      </c>
      <c r="J16" s="19" t="n">
        <f aca="false">F16*I16</f>
        <v>6479.1</v>
      </c>
      <c r="K16" s="19" t="n">
        <f aca="false">E16*Assumptions!$C$6</f>
        <v>1150</v>
      </c>
      <c r="L16" s="19" t="n">
        <f aca="false">J16-K16</f>
        <v>5329.1</v>
      </c>
      <c r="M16" s="20" t="n">
        <f aca="false">IFERROR(J16/K16,0)</f>
        <v>5.634</v>
      </c>
    </row>
    <row r="17" customFormat="false" ht="15" hidden="false" customHeight="false" outlineLevel="0" collapsed="false">
      <c r="A17" s="3" t="s">
        <v>95</v>
      </c>
      <c r="E17" s="21" t="n">
        <f aca="false">SUM(E14:E16)</f>
        <v>270</v>
      </c>
      <c r="F17" s="22" t="n">
        <f aca="false">SUM(F14:F16)</f>
        <v>40.5</v>
      </c>
      <c r="J17" s="23" t="n">
        <f aca="false">SUM(J14:J16)</f>
        <v>66949.8</v>
      </c>
      <c r="K17" s="23" t="n">
        <f aca="false">SUM(K14:K16)</f>
        <v>13500</v>
      </c>
      <c r="L17" s="23" t="n">
        <f aca="false">SUM(L14:L16)</f>
        <v>53449.8</v>
      </c>
      <c r="M17" s="24" t="n">
        <f aca="false">IFERROR(J17/K17,0)</f>
        <v>4.95924444444445</v>
      </c>
    </row>
    <row r="20" customFormat="false" ht="15" hidden="false" customHeight="false" outlineLevel="0" collapsed="false">
      <c r="A20" s="3" t="s">
        <v>97</v>
      </c>
    </row>
    <row r="21" customFormat="false" ht="23.85" hidden="false" customHeight="false" outlineLevel="0" collapsed="false">
      <c r="A21" s="4" t="s">
        <v>79</v>
      </c>
      <c r="B21" s="4" t="s">
        <v>80</v>
      </c>
      <c r="C21" s="4" t="s">
        <v>81</v>
      </c>
      <c r="D21" s="4" t="s">
        <v>82</v>
      </c>
      <c r="E21" s="4" t="s">
        <v>83</v>
      </c>
      <c r="F21" s="4" t="s">
        <v>84</v>
      </c>
      <c r="G21" s="4" t="s">
        <v>85</v>
      </c>
      <c r="H21" s="4" t="s">
        <v>86</v>
      </c>
      <c r="I21" s="4" t="s">
        <v>87</v>
      </c>
      <c r="J21" s="4" t="s">
        <v>88</v>
      </c>
      <c r="K21" s="4" t="s">
        <v>89</v>
      </c>
      <c r="L21" s="4" t="s">
        <v>90</v>
      </c>
      <c r="M21" s="4" t="s">
        <v>91</v>
      </c>
    </row>
    <row r="22" customFormat="false" ht="15" hidden="false" customHeight="false" outlineLevel="0" collapsed="false">
      <c r="A22" s="2" t="s">
        <v>92</v>
      </c>
      <c r="B22" s="8" t="n">
        <f aca="false">'Inputs from data'!$B$4</f>
        <v>892</v>
      </c>
      <c r="C22" s="8" t="n">
        <f aca="false">'Inputs from data'!$B$6</f>
        <v>728</v>
      </c>
      <c r="D22" s="17" t="n">
        <f aca="false">IFERROR(C22/B22,0)</f>
        <v>0.816143497757848</v>
      </c>
      <c r="E22" s="8" t="n">
        <f aca="false">'Inputs from data'!$B$5</f>
        <v>60</v>
      </c>
      <c r="F22" s="18" t="n">
        <f aca="false">E22*Assumptions!$D$5</f>
        <v>18</v>
      </c>
      <c r="G22" s="17" t="n">
        <f aca="false">IFERROR((C22+F22)/B22,0)</f>
        <v>0.836322869955157</v>
      </c>
      <c r="H22" s="18" t="n">
        <f aca="false">(G22-D22)*100</f>
        <v>2.01793721973094</v>
      </c>
      <c r="I22" s="19" t="n">
        <f aca="false">Assumptions!$D$8*Assumptions!$D$7</f>
        <v>1258</v>
      </c>
      <c r="J22" s="19" t="n">
        <f aca="false">F22*I22</f>
        <v>22644</v>
      </c>
      <c r="K22" s="19" t="n">
        <f aca="false">E22*Assumptions!$D$6</f>
        <v>1500</v>
      </c>
      <c r="L22" s="19" t="n">
        <f aca="false">J22-K22</f>
        <v>21144</v>
      </c>
      <c r="M22" s="20" t="n">
        <f aca="false">IFERROR(J22/K22,0)</f>
        <v>15.096</v>
      </c>
    </row>
    <row r="23" customFormat="false" ht="15" hidden="false" customHeight="false" outlineLevel="0" collapsed="false">
      <c r="A23" s="2" t="s">
        <v>93</v>
      </c>
      <c r="B23" s="8" t="n">
        <f aca="false">'Inputs from data'!$B$7</f>
        <v>516</v>
      </c>
      <c r="C23" s="8" t="n">
        <f aca="false">'Inputs from data'!$B$9</f>
        <v>106</v>
      </c>
      <c r="D23" s="17" t="n">
        <f aca="false">IFERROR(C23/B23,0)</f>
        <v>0.205426356589147</v>
      </c>
      <c r="E23" s="8" t="n">
        <f aca="false">'Inputs from data'!$B$8</f>
        <v>187</v>
      </c>
      <c r="F23" s="18" t="n">
        <f aca="false">E23*Assumptions!$D$5</f>
        <v>56.1</v>
      </c>
      <c r="G23" s="17" t="n">
        <f aca="false">IFERROR((C23+F23)/B23,0)</f>
        <v>0.314147286821705</v>
      </c>
      <c r="H23" s="18" t="n">
        <f aca="false">(G23-D23)*100</f>
        <v>10.8720930232558</v>
      </c>
      <c r="I23" s="19" t="n">
        <f aca="false">Assumptions!$D$9*Assumptions!$D$7</f>
        <v>3908</v>
      </c>
      <c r="J23" s="19" t="n">
        <f aca="false">F23*I23</f>
        <v>219238.8</v>
      </c>
      <c r="K23" s="19" t="n">
        <f aca="false">E23*Assumptions!$D$6</f>
        <v>4675</v>
      </c>
      <c r="L23" s="19" t="n">
        <f aca="false">J23-K23</f>
        <v>214563.8</v>
      </c>
      <c r="M23" s="20" t="n">
        <f aca="false">IFERROR(J23/K23,0)</f>
        <v>46.896</v>
      </c>
    </row>
    <row r="24" customFormat="false" ht="15" hidden="false" customHeight="false" outlineLevel="0" collapsed="false">
      <c r="A24" s="2" t="s">
        <v>94</v>
      </c>
      <c r="B24" s="8" t="n">
        <f aca="false">'Inputs from data'!$B$10</f>
        <v>56</v>
      </c>
      <c r="C24" s="8" t="n">
        <f aca="false">'Inputs from data'!$B$12</f>
        <v>8</v>
      </c>
      <c r="D24" s="17" t="n">
        <f aca="false">IFERROR(C24/B24,0)</f>
        <v>0.142857142857143</v>
      </c>
      <c r="E24" s="8" t="n">
        <f aca="false">'Inputs from data'!$B$11</f>
        <v>23</v>
      </c>
      <c r="F24" s="18" t="n">
        <f aca="false">E24*Assumptions!$D$5</f>
        <v>6.9</v>
      </c>
      <c r="G24" s="17" t="n">
        <f aca="false">IFERROR((C24+F24)/B24,0)</f>
        <v>0.266071428571429</v>
      </c>
      <c r="H24" s="18" t="n">
        <f aca="false">(G24-D24)*100</f>
        <v>12.3214285714286</v>
      </c>
      <c r="I24" s="19" t="n">
        <f aca="false">Assumptions!$D$10*Assumptions!$D$7</f>
        <v>3756</v>
      </c>
      <c r="J24" s="19" t="n">
        <f aca="false">F24*I24</f>
        <v>25916.4</v>
      </c>
      <c r="K24" s="19" t="n">
        <f aca="false">E24*Assumptions!$D$6</f>
        <v>575</v>
      </c>
      <c r="L24" s="19" t="n">
        <f aca="false">J24-K24</f>
        <v>25341.4</v>
      </c>
      <c r="M24" s="20" t="n">
        <f aca="false">IFERROR(J24/K24,0)</f>
        <v>45.072</v>
      </c>
    </row>
    <row r="25" customFormat="false" ht="15" hidden="false" customHeight="false" outlineLevel="0" collapsed="false">
      <c r="A25" s="3" t="s">
        <v>95</v>
      </c>
      <c r="E25" s="21" t="n">
        <f aca="false">SUM(E22:E24)</f>
        <v>270</v>
      </c>
      <c r="F25" s="22" t="n">
        <f aca="false">SUM(F22:F24)</f>
        <v>81</v>
      </c>
      <c r="J25" s="23" t="n">
        <f aca="false">SUM(J22:J24)</f>
        <v>267799.2</v>
      </c>
      <c r="K25" s="23" t="n">
        <f aca="false">SUM(K22:K24)</f>
        <v>6750</v>
      </c>
      <c r="L25" s="23" t="n">
        <f aca="false">SUM(L22:L24)</f>
        <v>261049.2</v>
      </c>
      <c r="M25" s="24" t="n">
        <f aca="false">IFERROR(J25/K25,0)</f>
        <v>39.6739555555556</v>
      </c>
    </row>
    <row r="28" customFormat="false" ht="15" hidden="false" customHeight="false" outlineLevel="0" collapsed="false">
      <c r="A28" s="3" t="s">
        <v>98</v>
      </c>
    </row>
    <row r="29" customFormat="false" ht="15" hidden="false" customHeight="false" outlineLevel="0" collapsed="false">
      <c r="A29" s="10" t="s">
        <v>99</v>
      </c>
    </row>
    <row r="30" customFormat="false" ht="15" hidden="false" customHeight="false" outlineLevel="0" collapsed="false">
      <c r="A30" s="3" t="s">
        <v>100</v>
      </c>
      <c r="B30" s="25" t="n">
        <v>0</v>
      </c>
      <c r="C30" s="25" t="n">
        <v>0.25</v>
      </c>
      <c r="D30" s="25" t="n">
        <v>0.5</v>
      </c>
      <c r="E30" s="25" t="n">
        <v>0.75</v>
      </c>
      <c r="F30" s="25" t="n">
        <v>1</v>
      </c>
    </row>
    <row r="31" customFormat="false" ht="15" hidden="false" customHeight="false" outlineLevel="0" collapsed="false">
      <c r="A31" s="25" t="n">
        <v>0.05</v>
      </c>
      <c r="B31" s="26" t="n">
        <f aca="false">('Inputs from data'!$B$5*$A31*B$30*Assumptions!$C$8+'Inputs from data'!$B$8*$A31*B$30*Assumptions!$C$9+'Inputs from data'!$B$11*$A31*B$30*Assumptions!$C$10)-('Inputs from data'!$B$5+'Inputs from data'!$B$8+'Inputs from data'!$B$11)*Assumptions!$C$6</f>
        <v>-13500</v>
      </c>
      <c r="C31" s="26" t="n">
        <f aca="false">('Inputs from data'!$B$5*$A31*C$30*Assumptions!$C$8+'Inputs from data'!$B$8*$A31*C$30*Assumptions!$C$9+'Inputs from data'!$B$11*$A31*C$30*Assumptions!$C$10)-('Inputs from data'!$B$5+'Inputs from data'!$B$8+'Inputs from data'!$B$11)*Assumptions!$C$6</f>
        <v>-2341.7</v>
      </c>
      <c r="D31" s="26" t="n">
        <f aca="false">('Inputs from data'!$B$5*$A31*D$30*Assumptions!$C$8+'Inputs from data'!$B$8*$A31*D$30*Assumptions!$C$9+'Inputs from data'!$B$11*$A31*D$30*Assumptions!$C$10)-('Inputs from data'!$B$5+'Inputs from data'!$B$8+'Inputs from data'!$B$11)*Assumptions!$C$6</f>
        <v>8816.6</v>
      </c>
      <c r="E31" s="26" t="n">
        <f aca="false">('Inputs from data'!$B$5*$A31*E$30*Assumptions!$C$8+'Inputs from data'!$B$8*$A31*E$30*Assumptions!$C$9+'Inputs from data'!$B$11*$A31*E$30*Assumptions!$C$10)-('Inputs from data'!$B$5+'Inputs from data'!$B$8+'Inputs from data'!$B$11)*Assumptions!$C$6</f>
        <v>19974.9</v>
      </c>
      <c r="F31" s="26" t="n">
        <f aca="false">('Inputs from data'!$B$5*$A31*F$30*Assumptions!$C$8+'Inputs from data'!$B$8*$A31*F$30*Assumptions!$C$9+'Inputs from data'!$B$11*$A31*F$30*Assumptions!$C$10)-('Inputs from data'!$B$5+'Inputs from data'!$B$8+'Inputs from data'!$B$11)*Assumptions!$C$6</f>
        <v>31133.2</v>
      </c>
    </row>
    <row r="32" customFormat="false" ht="15" hidden="false" customHeight="false" outlineLevel="0" collapsed="false">
      <c r="A32" s="25" t="n">
        <v>0.1</v>
      </c>
      <c r="B32" s="26" t="n">
        <f aca="false">('Inputs from data'!$B$5*$A32*B$30*Assumptions!$C$8+'Inputs from data'!$B$8*$A32*B$30*Assumptions!$C$9+'Inputs from data'!$B$11*$A32*B$30*Assumptions!$C$10)-('Inputs from data'!$B$5+'Inputs from data'!$B$8+'Inputs from data'!$B$11)*Assumptions!$C$6</f>
        <v>-13500</v>
      </c>
      <c r="C32" s="26" t="n">
        <f aca="false">('Inputs from data'!$B$5*$A32*C$30*Assumptions!$C$8+'Inputs from data'!$B$8*$A32*C$30*Assumptions!$C$9+'Inputs from data'!$B$11*$A32*C$30*Assumptions!$C$10)-('Inputs from data'!$B$5+'Inputs from data'!$B$8+'Inputs from data'!$B$11)*Assumptions!$C$6</f>
        <v>8816.6</v>
      </c>
      <c r="D32" s="26" t="n">
        <f aca="false">('Inputs from data'!$B$5*$A32*D$30*Assumptions!$C$8+'Inputs from data'!$B$8*$A32*D$30*Assumptions!$C$9+'Inputs from data'!$B$11*$A32*D$30*Assumptions!$C$10)-('Inputs from data'!$B$5+'Inputs from data'!$B$8+'Inputs from data'!$B$11)*Assumptions!$C$6</f>
        <v>31133.2</v>
      </c>
      <c r="E32" s="26" t="n">
        <f aca="false">('Inputs from data'!$B$5*$A32*E$30*Assumptions!$C$8+'Inputs from data'!$B$8*$A32*E$30*Assumptions!$C$9+'Inputs from data'!$B$11*$A32*E$30*Assumptions!$C$10)-('Inputs from data'!$B$5+'Inputs from data'!$B$8+'Inputs from data'!$B$11)*Assumptions!$C$6</f>
        <v>53449.8</v>
      </c>
      <c r="F32" s="26" t="n">
        <f aca="false">('Inputs from data'!$B$5*$A32*F$30*Assumptions!$C$8+'Inputs from data'!$B$8*$A32*F$30*Assumptions!$C$9+'Inputs from data'!$B$11*$A32*F$30*Assumptions!$C$10)-('Inputs from data'!$B$5+'Inputs from data'!$B$8+'Inputs from data'!$B$11)*Assumptions!$C$6</f>
        <v>75766.4</v>
      </c>
    </row>
    <row r="33" customFormat="false" ht="15" hidden="false" customHeight="false" outlineLevel="0" collapsed="false">
      <c r="A33" s="25" t="n">
        <v>0.15</v>
      </c>
      <c r="B33" s="26" t="n">
        <f aca="false">('Inputs from data'!$B$5*$A33*B$30*Assumptions!$C$8+'Inputs from data'!$B$8*$A33*B$30*Assumptions!$C$9+'Inputs from data'!$B$11*$A33*B$30*Assumptions!$C$10)-('Inputs from data'!$B$5+'Inputs from data'!$B$8+'Inputs from data'!$B$11)*Assumptions!$C$6</f>
        <v>-13500</v>
      </c>
      <c r="C33" s="26" t="n">
        <f aca="false">('Inputs from data'!$B$5*$A33*C$30*Assumptions!$C$8+'Inputs from data'!$B$8*$A33*C$30*Assumptions!$C$9+'Inputs from data'!$B$11*$A33*C$30*Assumptions!$C$10)-('Inputs from data'!$B$5+'Inputs from data'!$B$8+'Inputs from data'!$B$11)*Assumptions!$C$6</f>
        <v>19974.9</v>
      </c>
      <c r="D33" s="26" t="n">
        <f aca="false">('Inputs from data'!$B$5*$A33*D$30*Assumptions!$C$8+'Inputs from data'!$B$8*$A33*D$30*Assumptions!$C$9+'Inputs from data'!$B$11*$A33*D$30*Assumptions!$C$10)-('Inputs from data'!$B$5+'Inputs from data'!$B$8+'Inputs from data'!$B$11)*Assumptions!$C$6</f>
        <v>53449.8</v>
      </c>
      <c r="E33" s="26" t="n">
        <f aca="false">('Inputs from data'!$B$5*$A33*E$30*Assumptions!$C$8+'Inputs from data'!$B$8*$A33*E$30*Assumptions!$C$9+'Inputs from data'!$B$11*$A33*E$30*Assumptions!$C$10)-('Inputs from data'!$B$5+'Inputs from data'!$B$8+'Inputs from data'!$B$11)*Assumptions!$C$6</f>
        <v>86924.7</v>
      </c>
      <c r="F33" s="26" t="n">
        <f aca="false">('Inputs from data'!$B$5*$A33*F$30*Assumptions!$C$8+'Inputs from data'!$B$8*$A33*F$30*Assumptions!$C$9+'Inputs from data'!$B$11*$A33*F$30*Assumptions!$C$10)-('Inputs from data'!$B$5+'Inputs from data'!$B$8+'Inputs from data'!$B$11)*Assumptions!$C$6</f>
        <v>120399.6</v>
      </c>
    </row>
    <row r="34" customFormat="false" ht="15" hidden="false" customHeight="false" outlineLevel="0" collapsed="false">
      <c r="A34" s="25" t="n">
        <v>0.2</v>
      </c>
      <c r="B34" s="26" t="n">
        <f aca="false">('Inputs from data'!$B$5*$A34*B$30*Assumptions!$C$8+'Inputs from data'!$B$8*$A34*B$30*Assumptions!$C$9+'Inputs from data'!$B$11*$A34*B$30*Assumptions!$C$10)-('Inputs from data'!$B$5+'Inputs from data'!$B$8+'Inputs from data'!$B$11)*Assumptions!$C$6</f>
        <v>-13500</v>
      </c>
      <c r="C34" s="26" t="n">
        <f aca="false">('Inputs from data'!$B$5*$A34*C$30*Assumptions!$C$8+'Inputs from data'!$B$8*$A34*C$30*Assumptions!$C$9+'Inputs from data'!$B$11*$A34*C$30*Assumptions!$C$10)-('Inputs from data'!$B$5+'Inputs from data'!$B$8+'Inputs from data'!$B$11)*Assumptions!$C$6</f>
        <v>31133.2</v>
      </c>
      <c r="D34" s="26" t="n">
        <f aca="false">('Inputs from data'!$B$5*$A34*D$30*Assumptions!$C$8+'Inputs from data'!$B$8*$A34*D$30*Assumptions!$C$9+'Inputs from data'!$B$11*$A34*D$30*Assumptions!$C$10)-('Inputs from data'!$B$5+'Inputs from data'!$B$8+'Inputs from data'!$B$11)*Assumptions!$C$6</f>
        <v>75766.4</v>
      </c>
      <c r="E34" s="26" t="n">
        <f aca="false">('Inputs from data'!$B$5*$A34*E$30*Assumptions!$C$8+'Inputs from data'!$B$8*$A34*E$30*Assumptions!$C$9+'Inputs from data'!$B$11*$A34*E$30*Assumptions!$C$10)-('Inputs from data'!$B$5+'Inputs from data'!$B$8+'Inputs from data'!$B$11)*Assumptions!$C$6</f>
        <v>120399.6</v>
      </c>
      <c r="F34" s="26" t="n">
        <f aca="false">('Inputs from data'!$B$5*$A34*F$30*Assumptions!$C$8+'Inputs from data'!$B$8*$A34*F$30*Assumptions!$C$9+'Inputs from data'!$B$11*$A34*F$30*Assumptions!$C$10)-('Inputs from data'!$B$5+'Inputs from data'!$B$8+'Inputs from data'!$B$11)*Assumptions!$C$6</f>
        <v>165032.8</v>
      </c>
    </row>
    <row r="35" customFormat="false" ht="15" hidden="false" customHeight="false" outlineLevel="0" collapsed="false">
      <c r="A35" s="25" t="n">
        <v>0.3</v>
      </c>
      <c r="B35" s="26" t="n">
        <f aca="false">('Inputs from data'!$B$5*$A35*B$30*Assumptions!$C$8+'Inputs from data'!$B$8*$A35*B$30*Assumptions!$C$9+'Inputs from data'!$B$11*$A35*B$30*Assumptions!$C$10)-('Inputs from data'!$B$5+'Inputs from data'!$B$8+'Inputs from data'!$B$11)*Assumptions!$C$6</f>
        <v>-13500</v>
      </c>
      <c r="C35" s="26" t="n">
        <f aca="false">('Inputs from data'!$B$5*$A35*C$30*Assumptions!$C$8+'Inputs from data'!$B$8*$A35*C$30*Assumptions!$C$9+'Inputs from data'!$B$11*$A35*C$30*Assumptions!$C$10)-('Inputs from data'!$B$5+'Inputs from data'!$B$8+'Inputs from data'!$B$11)*Assumptions!$C$6</f>
        <v>53449.8</v>
      </c>
      <c r="D35" s="26" t="n">
        <f aca="false">('Inputs from data'!$B$5*$A35*D$30*Assumptions!$C$8+'Inputs from data'!$B$8*$A35*D$30*Assumptions!$C$9+'Inputs from data'!$B$11*$A35*D$30*Assumptions!$C$10)-('Inputs from data'!$B$5+'Inputs from data'!$B$8+'Inputs from data'!$B$11)*Assumptions!$C$6</f>
        <v>120399.6</v>
      </c>
      <c r="E35" s="26" t="n">
        <f aca="false">('Inputs from data'!$B$5*$A35*E$30*Assumptions!$C$8+'Inputs from data'!$B$8*$A35*E$30*Assumptions!$C$9+'Inputs from data'!$B$11*$A35*E$30*Assumptions!$C$10)-('Inputs from data'!$B$5+'Inputs from data'!$B$8+'Inputs from data'!$B$11)*Assumptions!$C$6</f>
        <v>187349.4</v>
      </c>
      <c r="F35" s="26" t="n">
        <f aca="false">('Inputs from data'!$B$5*$A35*F$30*Assumptions!$C$8+'Inputs from data'!$B$8*$A35*F$30*Assumptions!$C$9+'Inputs from data'!$B$11*$A35*F$30*Assumptions!$C$10)-('Inputs from data'!$B$5+'Inputs from data'!$B$8+'Inputs from data'!$B$11)*Assumptions!$C$6</f>
        <v>254299.2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3"/>
    <col collapsed="false" customWidth="true" hidden="false" outlineLevel="0" max="5" min="5" style="0" width="40"/>
    <col collapsed="false" customWidth="true" hidden="false" outlineLevel="0" max="6" min="6" style="0" width="13"/>
  </cols>
  <sheetData>
    <row r="1" customFormat="false" ht="16.1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10" t="s">
        <v>102</v>
      </c>
    </row>
    <row r="4" customFormat="false" ht="15" hidden="false" customHeight="false" outlineLevel="0" collapsed="false">
      <c r="A4" s="4" t="s">
        <v>103</v>
      </c>
      <c r="B4" s="4" t="s">
        <v>14</v>
      </c>
      <c r="C4" s="4" t="s">
        <v>15</v>
      </c>
      <c r="D4" s="4" t="s">
        <v>16</v>
      </c>
      <c r="E4" s="4" t="s">
        <v>104</v>
      </c>
    </row>
    <row r="5" customFormat="false" ht="15" hidden="false" customHeight="false" outlineLevel="0" collapsed="false">
      <c r="A5" s="2" t="s">
        <v>105</v>
      </c>
      <c r="B5" s="8" t="n">
        <f aca="false">'Inputs from data'!$B$13</f>
        <v>167</v>
      </c>
      <c r="C5" s="8" t="n">
        <f aca="false">'Inputs from data'!$B$13</f>
        <v>167</v>
      </c>
      <c r="D5" s="8" t="n">
        <f aca="false">'Inputs from data'!$B$13</f>
        <v>167</v>
      </c>
      <c r="E5" s="10" t="s">
        <v>106</v>
      </c>
    </row>
    <row r="6" customFormat="false" ht="15" hidden="false" customHeight="false" outlineLevel="0" collapsed="false">
      <c r="A6" s="2" t="s">
        <v>107</v>
      </c>
      <c r="B6" s="8" t="n">
        <f aca="false">'Inputs from data'!$B$14</f>
        <v>82</v>
      </c>
      <c r="C6" s="8" t="n">
        <f aca="false">'Inputs from data'!$B$14</f>
        <v>82</v>
      </c>
      <c r="D6" s="8" t="n">
        <f aca="false">'Inputs from data'!$B$14</f>
        <v>82</v>
      </c>
      <c r="E6" s="10" t="s">
        <v>108</v>
      </c>
    </row>
    <row r="7" customFormat="false" ht="15" hidden="false" customHeight="false" outlineLevel="0" collapsed="false">
      <c r="A7" s="2" t="s">
        <v>109</v>
      </c>
      <c r="B7" s="5" t="n">
        <f aca="false">Assumptions!$B$12</f>
        <v>270</v>
      </c>
      <c r="C7" s="5" t="n">
        <f aca="false">Assumptions!$C$12</f>
        <v>164</v>
      </c>
      <c r="D7" s="5" t="n">
        <f aca="false">Assumptions!$D$12</f>
        <v>60</v>
      </c>
      <c r="E7" s="10" t="s">
        <v>110</v>
      </c>
    </row>
    <row r="8" customFormat="false" ht="15" hidden="false" customHeight="false" outlineLevel="0" collapsed="false">
      <c r="A8" s="2" t="s">
        <v>111</v>
      </c>
      <c r="B8" s="8" t="n">
        <f aca="false">Assumptions!$B$13</f>
        <v>12</v>
      </c>
      <c r="C8" s="8" t="n">
        <f aca="false">Assumptions!$C$13</f>
        <v>12</v>
      </c>
      <c r="D8" s="8" t="n">
        <f aca="false">Assumptions!$D$13</f>
        <v>12</v>
      </c>
      <c r="E8" s="10" t="s">
        <v>110</v>
      </c>
    </row>
    <row r="9" customFormat="false" ht="15" hidden="false" customHeight="false" outlineLevel="0" collapsed="false">
      <c r="A9" s="2" t="s">
        <v>112</v>
      </c>
      <c r="B9" s="19" t="n">
        <f aca="false">B5*B7*B8</f>
        <v>541080</v>
      </c>
      <c r="C9" s="19" t="n">
        <f aca="false">C5*C7*C8</f>
        <v>328656</v>
      </c>
      <c r="D9" s="19" t="n">
        <f aca="false">D5*D7*D8</f>
        <v>120240</v>
      </c>
      <c r="E9" s="10" t="s">
        <v>113</v>
      </c>
    </row>
    <row r="10" customFormat="false" ht="15" hidden="false" customHeight="false" outlineLevel="0" collapsed="false">
      <c r="A10" s="2" t="s">
        <v>114</v>
      </c>
      <c r="B10" s="9" t="n">
        <f aca="false">Assumptions!$B$14</f>
        <v>0</v>
      </c>
      <c r="C10" s="9" t="n">
        <f aca="false">Assumptions!$C$14</f>
        <v>0.08</v>
      </c>
      <c r="D10" s="9" t="n">
        <f aca="false">Assumptions!$D$14</f>
        <v>0.17</v>
      </c>
      <c r="E10" s="10" t="s">
        <v>110</v>
      </c>
    </row>
    <row r="11" customFormat="false" ht="15" hidden="false" customHeight="false" outlineLevel="0" collapsed="false">
      <c r="A11" s="2" t="s">
        <v>115</v>
      </c>
      <c r="B11" s="18" t="n">
        <f aca="false">B6*B10</f>
        <v>0</v>
      </c>
      <c r="C11" s="18" t="n">
        <f aca="false">C6*C10</f>
        <v>6.56</v>
      </c>
      <c r="D11" s="18" t="n">
        <f aca="false">D6*D10</f>
        <v>13.94</v>
      </c>
      <c r="E11" s="10" t="s">
        <v>116</v>
      </c>
    </row>
    <row r="12" customFormat="false" ht="15" hidden="false" customHeight="false" outlineLevel="0" collapsed="false">
      <c r="A12" s="2" t="s">
        <v>117</v>
      </c>
      <c r="B12" s="5" t="n">
        <f aca="false">Assumptions!$B$15</f>
        <v>4222</v>
      </c>
      <c r="C12" s="5" t="n">
        <f aca="false">Assumptions!$C$15</f>
        <v>16000</v>
      </c>
      <c r="D12" s="5" t="n">
        <f aca="false">Assumptions!$D$15</f>
        <v>31192</v>
      </c>
      <c r="E12" s="10" t="s">
        <v>110</v>
      </c>
    </row>
    <row r="13" customFormat="false" ht="15" hidden="false" customHeight="false" outlineLevel="0" collapsed="false">
      <c r="A13" s="2" t="s">
        <v>118</v>
      </c>
      <c r="B13" s="19" t="n">
        <f aca="false">B11*B12</f>
        <v>0</v>
      </c>
      <c r="C13" s="19" t="n">
        <f aca="false">C11*C12</f>
        <v>104960</v>
      </c>
      <c r="D13" s="19" t="n">
        <f aca="false">D11*D12</f>
        <v>434816.48</v>
      </c>
      <c r="E13" s="10" t="s">
        <v>119</v>
      </c>
    </row>
    <row r="14" customFormat="false" ht="15" hidden="false" customHeight="false" outlineLevel="0" collapsed="false">
      <c r="A14" s="3" t="s">
        <v>90</v>
      </c>
      <c r="B14" s="23" t="n">
        <f aca="false">B13-B9</f>
        <v>-541080</v>
      </c>
      <c r="C14" s="23" t="n">
        <f aca="false">C13-C9</f>
        <v>-223696</v>
      </c>
      <c r="D14" s="23" t="n">
        <f aca="false">D13-D9</f>
        <v>314576.48</v>
      </c>
      <c r="E14" s="10" t="s">
        <v>120</v>
      </c>
    </row>
    <row r="15" customFormat="false" ht="15" hidden="false" customHeight="false" outlineLevel="0" collapsed="false">
      <c r="A15" s="2" t="s">
        <v>91</v>
      </c>
      <c r="B15" s="20" t="n">
        <f aca="false">IFERROR(B13/B9,0)</f>
        <v>0</v>
      </c>
      <c r="C15" s="20" t="n">
        <f aca="false">IFERROR(C13/C9,0)</f>
        <v>0.31936127744511</v>
      </c>
      <c r="D15" s="20" t="n">
        <f aca="false">IFERROR(D13/D9,0)</f>
        <v>3.6162381902861</v>
      </c>
      <c r="E15" s="10" t="s">
        <v>121</v>
      </c>
    </row>
    <row r="16" customFormat="false" ht="15" hidden="false" customHeight="false" outlineLevel="0" collapsed="false">
      <c r="A16" s="2" t="s">
        <v>122</v>
      </c>
      <c r="B16" s="17" t="n">
        <f aca="false">IFERROR(B9/(B6*B12),0)</f>
        <v>1.5628935540895</v>
      </c>
      <c r="C16" s="17" t="n">
        <f aca="false">IFERROR(C9/(C6*C12),0)</f>
        <v>0.2505</v>
      </c>
      <c r="D16" s="17" t="n">
        <f aca="false">IFERROR(D9/(D6*D12),0)</f>
        <v>0.047010177719115</v>
      </c>
      <c r="E16" s="10" t="s">
        <v>123</v>
      </c>
    </row>
    <row r="19" customFormat="false" ht="15" hidden="false" customHeight="false" outlineLevel="0" collapsed="false">
      <c r="A19" s="3" t="s">
        <v>124</v>
      </c>
    </row>
    <row r="20" customFormat="false" ht="15" hidden="false" customHeight="false" outlineLevel="0" collapsed="false">
      <c r="A20" s="2" t="s">
        <v>125</v>
      </c>
      <c r="B20" s="27" t="n">
        <f aca="false">'Inputs from data'!$B$15</f>
        <v>191249</v>
      </c>
    </row>
    <row r="21" customFormat="false" ht="15" hidden="false" customHeight="false" outlineLevel="0" collapsed="false">
      <c r="A21" s="2" t="s">
        <v>126</v>
      </c>
      <c r="B21" s="27" t="n">
        <f aca="false">'Inputs from data'!$B$16</f>
        <v>116535</v>
      </c>
    </row>
    <row r="22" customFormat="false" ht="15" hidden="false" customHeight="false" outlineLevel="0" collapsed="false">
      <c r="A22" s="2" t="s">
        <v>127</v>
      </c>
      <c r="B22" s="28" t="n">
        <f aca="false">IFERROR(B21/B20-1,0)</f>
        <v>-0.390663480593363</v>
      </c>
    </row>
    <row r="23" customFormat="false" ht="15" hidden="false" customHeight="false" outlineLevel="0" collapsed="false">
      <c r="A23" s="10" t="s">
        <v>128</v>
      </c>
    </row>
    <row r="26" customFormat="false" ht="15" hidden="false" customHeight="false" outlineLevel="0" collapsed="false">
      <c r="A26" s="3" t="s">
        <v>129</v>
      </c>
    </row>
    <row r="27" customFormat="false" ht="15" hidden="false" customHeight="false" outlineLevel="0" collapsed="false">
      <c r="A27" s="10" t="s">
        <v>130</v>
      </c>
    </row>
    <row r="28" customFormat="false" ht="15" hidden="false" customHeight="false" outlineLevel="0" collapsed="false">
      <c r="A28" s="3" t="s">
        <v>131</v>
      </c>
      <c r="B28" s="29" t="n">
        <v>60</v>
      </c>
      <c r="C28" s="29" t="n">
        <v>100</v>
      </c>
      <c r="D28" s="29" t="n">
        <v>164</v>
      </c>
      <c r="E28" s="29" t="n">
        <v>220</v>
      </c>
      <c r="F28" s="29" t="n">
        <v>270</v>
      </c>
    </row>
    <row r="29" customFormat="false" ht="15" hidden="false" customHeight="false" outlineLevel="0" collapsed="false">
      <c r="A29" s="25" t="n">
        <v>0</v>
      </c>
      <c r="B29" s="26" t="n">
        <f aca="false">$C$6*$A29*$C$12-$C$5*B$28*$C$8</f>
        <v>-120240</v>
      </c>
      <c r="C29" s="26" t="n">
        <f aca="false">$C$6*$A29*$C$12-$C$5*C$28*$C$8</f>
        <v>-200400</v>
      </c>
      <c r="D29" s="26" t="n">
        <f aca="false">$C$6*$A29*$C$12-$C$5*D$28*$C$8</f>
        <v>-328656</v>
      </c>
      <c r="E29" s="26" t="n">
        <f aca="false">$C$6*$A29*$C$12-$C$5*E$28*$C$8</f>
        <v>-440880</v>
      </c>
      <c r="F29" s="26" t="n">
        <f aca="false">$C$6*$A29*$C$12-$C$5*F$28*$C$8</f>
        <v>-541080</v>
      </c>
    </row>
    <row r="30" customFormat="false" ht="15" hidden="false" customHeight="false" outlineLevel="0" collapsed="false">
      <c r="A30" s="25" t="n">
        <v>0.05</v>
      </c>
      <c r="B30" s="26" t="n">
        <f aca="false">$C$6*$A30*$C$12-$C$5*B$28*$C$8</f>
        <v>-54640</v>
      </c>
      <c r="C30" s="26" t="n">
        <f aca="false">$C$6*$A30*$C$12-$C$5*C$28*$C$8</f>
        <v>-134800</v>
      </c>
      <c r="D30" s="26" t="n">
        <f aca="false">$C$6*$A30*$C$12-$C$5*D$28*$C$8</f>
        <v>-263056</v>
      </c>
      <c r="E30" s="26" t="n">
        <f aca="false">$C$6*$A30*$C$12-$C$5*E$28*$C$8</f>
        <v>-375280</v>
      </c>
      <c r="F30" s="26" t="n">
        <f aca="false">$C$6*$A30*$C$12-$C$5*F$28*$C$8</f>
        <v>-475480</v>
      </c>
    </row>
    <row r="31" customFormat="false" ht="15" hidden="false" customHeight="false" outlineLevel="0" collapsed="false">
      <c r="A31" s="25" t="n">
        <v>0.1</v>
      </c>
      <c r="B31" s="26" t="n">
        <f aca="false">$C$6*$A31*$C$12-$C$5*B$28*$C$8</f>
        <v>10960</v>
      </c>
      <c r="C31" s="26" t="n">
        <f aca="false">$C$6*$A31*$C$12-$C$5*C$28*$C$8</f>
        <v>-69200</v>
      </c>
      <c r="D31" s="26" t="n">
        <f aca="false">$C$6*$A31*$C$12-$C$5*D$28*$C$8</f>
        <v>-197456</v>
      </c>
      <c r="E31" s="26" t="n">
        <f aca="false">$C$6*$A31*$C$12-$C$5*E$28*$C$8</f>
        <v>-309680</v>
      </c>
      <c r="F31" s="26" t="n">
        <f aca="false">$C$6*$A31*$C$12-$C$5*F$28*$C$8</f>
        <v>-409880</v>
      </c>
    </row>
    <row r="32" customFormat="false" ht="15" hidden="false" customHeight="false" outlineLevel="0" collapsed="false">
      <c r="A32" s="25" t="n">
        <v>0.17</v>
      </c>
      <c r="B32" s="26" t="n">
        <f aca="false">$C$6*$A32*$C$12-$C$5*B$28*$C$8</f>
        <v>102800</v>
      </c>
      <c r="C32" s="26" t="n">
        <f aca="false">$C$6*$A32*$C$12-$C$5*C$28*$C$8</f>
        <v>22640</v>
      </c>
      <c r="D32" s="26" t="n">
        <f aca="false">$C$6*$A32*$C$12-$C$5*D$28*$C$8</f>
        <v>-105616</v>
      </c>
      <c r="E32" s="26" t="n">
        <f aca="false">$C$6*$A32*$C$12-$C$5*E$28*$C$8</f>
        <v>-217840</v>
      </c>
      <c r="F32" s="26" t="n">
        <f aca="false">$C$6*$A32*$C$12-$C$5*F$28*$C$8</f>
        <v>-318040</v>
      </c>
    </row>
    <row r="33" customFormat="false" ht="15" hidden="false" customHeight="false" outlineLevel="0" collapsed="false">
      <c r="A33" s="25" t="n">
        <v>0.25</v>
      </c>
      <c r="B33" s="26" t="n">
        <f aca="false">$C$6*$A33*$C$12-$C$5*B$28*$C$8</f>
        <v>207760</v>
      </c>
      <c r="C33" s="26" t="n">
        <f aca="false">$C$6*$A33*$C$12-$C$5*C$28*$C$8</f>
        <v>127600</v>
      </c>
      <c r="D33" s="26" t="n">
        <f aca="false">$C$6*$A33*$C$12-$C$5*D$28*$C$8</f>
        <v>-656</v>
      </c>
      <c r="E33" s="26" t="n">
        <f aca="false">$C$6*$A33*$C$12-$C$5*E$28*$C$8</f>
        <v>-112880</v>
      </c>
      <c r="F33" s="26" t="n">
        <f aca="false">$C$6*$A33*$C$12-$C$5*F$28*$C$8</f>
        <v>-213080</v>
      </c>
    </row>
    <row r="34" customFormat="false" ht="15" hidden="false" customHeight="false" outlineLevel="0" collapsed="false">
      <c r="A34" s="25" t="n">
        <v>0.3</v>
      </c>
      <c r="B34" s="26" t="n">
        <f aca="false">$C$6*$A34*$C$12-$C$5*B$28*$C$8</f>
        <v>273360</v>
      </c>
      <c r="C34" s="26" t="n">
        <f aca="false">$C$6*$A34*$C$12-$C$5*C$28*$C$8</f>
        <v>193200</v>
      </c>
      <c r="D34" s="26" t="n">
        <f aca="false">$C$6*$A34*$C$12-$C$5*D$28*$C$8</f>
        <v>64943.9999999999</v>
      </c>
      <c r="E34" s="26" t="n">
        <f aca="false">$C$6*$A34*$C$12-$C$5*E$28*$C$8</f>
        <v>-47280.0000000001</v>
      </c>
      <c r="F34" s="26" t="n">
        <f aca="false">$C$6*$A34*$C$12-$C$5*F$28*$C$8</f>
        <v>-147480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2026-10-05T00:10:33Z</dcterms:created>
  <dc:creator>openpyxl</dc:creator>
  <dc:description/>
  <dc:language>en-US</dc:language>
  <cp:lastModifiedBy/>
  <dcterms:modified xsi:type="dcterms:W3CDTF">2026-10-05T00:10:33Z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